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090fb4515b3bf35a/Excel/"/>
    </mc:Choice>
  </mc:AlternateContent>
  <xr:revisionPtr revIDLastSave="2" documentId="11_1E08CBE48C59734FC82AB1A8F758A3DEFB6D25C5" xr6:coauthVersionLast="45" xr6:coauthVersionMax="45" xr10:uidLastSave="{1D4DF746-3464-4FB8-87C2-92ABDBDF4925}"/>
  <bookViews>
    <workbookView xWindow="-110" yWindow="-110" windowWidth="21820" windowHeight="14020" xr2:uid="{00000000-000D-0000-FFFF-FFFF00000000}"/>
  </bookViews>
  <sheets>
    <sheet name="Outlook" sheetId="1" r:id="rId1"/>
    <sheet name="DataTable" sheetId="2" r:id="rId2"/>
  </sheets>
  <functionGroups builtInGroupCount="19"/>
  <definedNames>
    <definedName name="rngBody" localSheetId="0">Outlook!$C$10</definedName>
    <definedName name="rngData" localSheetId="1">DataTable!$B$2:$G$32</definedName>
    <definedName name="rngState" localSheetId="0">Outlook!$C$4</definedName>
    <definedName name="rngSubject" localSheetId="0">Outlook!$C$8</definedName>
    <definedName name="rngTo" localSheetId="0">Outlook!$C$7</definedName>
    <definedName name="rngVersion" localSheetId="0">Outlook!$C$5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2" i="2" l="1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8" i="2"/>
  <c r="B7" i="2"/>
  <c r="B6" i="2"/>
  <c r="B5" i="2"/>
  <c r="B4" i="2"/>
  <c r="B3" i="2"/>
  <c r="C10" i="1"/>
</calcChain>
</file>

<file path=xl/sharedStrings.xml><?xml version="1.0" encoding="utf-8"?>
<sst xmlns="http://schemas.openxmlformats.org/spreadsheetml/2006/main" count="45" uniqueCount="44">
  <si>
    <t>State</t>
  </si>
  <si>
    <t>Version</t>
  </si>
  <si>
    <t>To</t>
  </si>
  <si>
    <t>Subject</t>
  </si>
  <si>
    <t>Body</t>
  </si>
  <si>
    <t>drhanrahan@yahoo.com</t>
  </si>
  <si>
    <t>Late binding with Outlook in Excel</t>
  </si>
  <si>
    <t>16.0.0.4717</t>
  </si>
  <si>
    <t>Company</t>
  </si>
  <si>
    <t>Price</t>
  </si>
  <si>
    <t>Change</t>
  </si>
  <si>
    <t>% Change</t>
  </si>
  <si>
    <t>Volume</t>
  </si>
  <si>
    <t>MMM 3M</t>
  </si>
  <si>
    <t>AXP American Express</t>
  </si>
  <si>
    <t>AAPL Apple</t>
  </si>
  <si>
    <t>BA Boeing</t>
  </si>
  <si>
    <t>CAT Caterpillar</t>
  </si>
  <si>
    <t>CVX Chevron</t>
  </si>
  <si>
    <t>CSCO Cisco</t>
  </si>
  <si>
    <t>KO Coca-Cola</t>
  </si>
  <si>
    <t>DIS Disney</t>
  </si>
  <si>
    <t>DWDP DowDuPont Inc</t>
  </si>
  <si>
    <t>XOM Exxon Mobil</t>
  </si>
  <si>
    <t>GS Goldman Sachs</t>
  </si>
  <si>
    <t>HD Home Depot</t>
  </si>
  <si>
    <t>IBM IBM</t>
  </si>
  <si>
    <t>INTC Intel</t>
  </si>
  <si>
    <t>JNJ Johnson &amp; Johnson</t>
  </si>
  <si>
    <t>JPM JPMorgan Chase</t>
  </si>
  <si>
    <t>MCD McDonald's</t>
  </si>
  <si>
    <t>MRK Merck</t>
  </si>
  <si>
    <t>MSFT Microsoft</t>
  </si>
  <si>
    <t>NKE Nike</t>
  </si>
  <si>
    <t>PFE Pfizer</t>
  </si>
  <si>
    <t>PG Procter &amp; Gamble</t>
  </si>
  <si>
    <t>TRV Travelers Companies Inc</t>
  </si>
  <si>
    <t>UTX United Technologies</t>
  </si>
  <si>
    <t>UNH UnitedHealth</t>
  </si>
  <si>
    <t>VZ Verizon</t>
  </si>
  <si>
    <t>V Visa</t>
  </si>
  <si>
    <t>WMT Wal-Mart</t>
  </si>
  <si>
    <t>WBA Walgreen</t>
  </si>
  <si>
    <t>YTD Chg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</si>
</sst>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0"/>
      <color rgb="FFFF000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2" borderId="1" xfId="0" applyFill="1" applyBorder="1"/>
    <xf numFmtId="0" fontId="0" fillId="0" borderId="1" xfId="0" applyBorder="1" applyAlignment="1">
      <alignment horizontal="left" vertical="center"/>
    </xf>
    <xf numFmtId="0" fontId="3" fillId="3" borderId="1" xfId="1" applyFont="1" applyFill="1" applyBorder="1"/>
    <xf numFmtId="0" fontId="2" fillId="3" borderId="1" xfId="0" applyFont="1" applyFill="1" applyBorder="1"/>
    <xf numFmtId="0" fontId="0" fillId="0" borderId="0" xfId="0" applyBorder="1"/>
    <xf numFmtId="0" fontId="0" fillId="2" borderId="1" xfId="0" applyFill="1" applyBorder="1" applyAlignment="1"/>
    <xf numFmtId="0" fontId="0" fillId="3" borderId="1" xfId="0" applyFill="1" applyBorder="1" applyAlignment="1"/>
    <xf numFmtId="0" fontId="4" fillId="3" borderId="2" xfId="0" applyFont="1" applyFill="1" applyBorder="1" applyAlignment="1">
      <alignment horizontal="left" vertical="top" wrapText="1"/>
    </xf>
    <xf numFmtId="0" fontId="4" fillId="3" borderId="3" xfId="0" applyFont="1" applyFill="1" applyBorder="1" applyAlignment="1">
      <alignment horizontal="left" vertical="top" wrapText="1"/>
    </xf>
    <xf numFmtId="0" fontId="4" fillId="3" borderId="4" xfId="0" applyFont="1" applyFill="1" applyBorder="1" applyAlignment="1">
      <alignment horizontal="left" vertical="top" wrapText="1"/>
    </xf>
    <xf numFmtId="0" fontId="4" fillId="3" borderId="5" xfId="0" applyFont="1" applyFill="1" applyBorder="1" applyAlignment="1">
      <alignment horizontal="left" vertical="top" wrapText="1"/>
    </xf>
    <xf numFmtId="0" fontId="4" fillId="3" borderId="0" xfId="0" applyFont="1" applyFill="1" applyBorder="1" applyAlignment="1">
      <alignment horizontal="left" vertical="top" wrapText="1"/>
    </xf>
    <xf numFmtId="0" fontId="4" fillId="3" borderId="6" xfId="0" applyFont="1" applyFill="1" applyBorder="1" applyAlignment="1">
      <alignment horizontal="left" vertical="top" wrapText="1"/>
    </xf>
    <xf numFmtId="0" fontId="4" fillId="3" borderId="7" xfId="0" applyFont="1" applyFill="1" applyBorder="1" applyAlignment="1">
      <alignment horizontal="left" vertical="top" wrapText="1"/>
    </xf>
    <xf numFmtId="0" fontId="4" fillId="3" borderId="8" xfId="0" applyFont="1" applyFill="1" applyBorder="1" applyAlignment="1">
      <alignment horizontal="left" vertical="top" wrapText="1"/>
    </xf>
    <xf numFmtId="0" fontId="4" fillId="3" borderId="9" xfId="0" applyFont="1" applyFill="1" applyBorder="1" applyAlignment="1">
      <alignment horizontal="left"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165100</xdr:colOff>
          <xdr:row>3</xdr:row>
          <xdr:rowOff>38100</xdr:rowOff>
        </xdr:from>
        <xdr:to>
          <xdr:col>8</xdr:col>
          <xdr:colOff>88900</xdr:colOff>
          <xdr:row>5</xdr:row>
          <xdr:rowOff>12700</xdr:rowOff>
        </xdr:to>
        <xdr:sp macro="" textlink="">
          <xdr:nvSpPr>
            <xdr:cNvPr id="1025" name="cbCreateTex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165100</xdr:colOff>
          <xdr:row>3</xdr:row>
          <xdr:rowOff>38100</xdr:rowOff>
        </xdr:from>
        <xdr:to>
          <xdr:col>11</xdr:col>
          <xdr:colOff>88900</xdr:colOff>
          <xdr:row>5</xdr:row>
          <xdr:rowOff>12700</xdr:rowOff>
        </xdr:to>
        <xdr:sp macro="" textlink="">
          <xdr:nvSpPr>
            <xdr:cNvPr id="1026" name="cbCreateImag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rhanrahan@yahoo.com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Outlook"/>
  <dimension ref="B4:Q38"/>
  <sheetViews>
    <sheetView tabSelected="1" topLeftCell="A3" workbookViewId="0">
      <selection activeCell="V16" sqref="V16"/>
    </sheetView>
  </sheetViews>
  <sheetFormatPr defaultRowHeight="14.5" x14ac:dyDescent="0.35"/>
  <cols>
    <col min="3" max="3" width="31.7265625" bestFit="1" customWidth="1"/>
  </cols>
  <sheetData>
    <row r="4" spans="2:17" x14ac:dyDescent="0.35">
      <c r="B4" s="1" t="s">
        <v>0</v>
      </c>
      <c r="C4" s="2">
        <v>1</v>
      </c>
    </row>
    <row r="5" spans="2:17" x14ac:dyDescent="0.35">
      <c r="B5" s="1" t="s">
        <v>1</v>
      </c>
      <c r="C5" s="2" t="s">
        <v>7</v>
      </c>
    </row>
    <row r="7" spans="2:17" x14ac:dyDescent="0.35">
      <c r="B7" s="1" t="s">
        <v>2</v>
      </c>
      <c r="C7" s="3" t="s">
        <v>5</v>
      </c>
    </row>
    <row r="8" spans="2:17" x14ac:dyDescent="0.35">
      <c r="B8" s="1" t="s">
        <v>3</v>
      </c>
      <c r="C8" s="4" t="s">
        <v>6</v>
      </c>
    </row>
    <row r="10" spans="2:17" x14ac:dyDescent="0.35">
      <c r="B10" s="1" t="s">
        <v>4</v>
      </c>
      <c r="C10" s="8" t="str">
        <f>ConvertRangeToString(DataTable!rngData, 20)</f>
        <v xml:space="preserve">Company             Price               Change              % Change            Volume              YTD Chg             _x000D_
MMM 3M              199.94              -2.02               -0.01               122898              -0.1511             _x000D_
AXP American Expre  101.94              0.35                0.0035              303208              0.0262              _x000D_
AAPL Apple          209.34              1.81                0.0087              3261334             0.2377              _x000D_
BA Boeing           338.72              -0.69               -0.002              106560              0.1484              _x000D_
CAT Caterpillar     135.24              -0.68               -0.005              224114              -0.1426             _x000D_
CVX Chevron         122.68              -0.66               -0.0054             251436              -0.0203             _x000D_
CSCO Cisco          43.85               0.07                0.0016              1426949             0.1441              _x000D_
KO Coca-Cola        45.86               -0.22               -0.0048             581642              -0.0002             _x000D_
DIS Disney          112.39              -0.29               -0.0026             397757              0.0442              _x000D_
DWDP DowDuPont Inc  66.66               -1.08               -0.016              327269              -0.0652             _x000D_
XOM Exxon Mobil     78.69               -0.73               -0.0092             563467              -0.0593             _x000D_
GS Goldman Sachs    226.93              -2.68               -0.0117             194420              -0.1093             _x000D_
HD Home Depot       194.6               -1.7                -0.0087             556114              0.0261              _x000D_
IBM IBM             142.76              -1.72               -0.0119             228354              -0.0697             _x000D_
INTC Intel          48.54               -0.31               -0.0064             1126806             0.0511              _x000D_
JNJ Johnson &amp; John  130.24              -0.51               -0.0039             258928              -0.0677             _x000D_
JPM JPMorgan Chase  113.98              -1.75               -0.0151             881976              0.0658              _x000D_
MCD McDonald's      158                 -0.68               -0.0043             157489              -0.0809             _x000D_
MRK Merck           66.72               0.65                0.0098              602903              0.1866              _x000D_
MSFT Microsoft      108.38              -0.62               -0.0057             1838260             0.2669              _x000D_
NKE Nike            80.26               -0.47               -0.0058             252641              0.2825              _x000D_
PFE Pfizer          40.9                -0.04               -0.0009             831426              0.1292              _x000D_
PG Procter &amp; Gambl  81.5                0.07                0.0008              350957              -0.1119             _x000D_
TRV Travelers Comp  128.18              -0.69               -0.0054             73692               -0.0559             _x000D_
UTX United Technol  132.13              -0.97               -0.0073             164394              0.0358              _x000D_
UNH UnitedHealth    261.35              0.99                0.0038              59323               0.1852              _x000D_
VZ Verizon          52.28               -0.18               -0.0035             610850              -0.0129             _x000D_
V Visa              140.17              0.44                0.0031              457197              0.2297              _x000D_
WMT Wal-Mart        89.69               -0.49               -0.0055             457375              -0.0908             _x000D_
WBA Walgreen        66.61               0.12                0.0018              414122              -0.0837             </v>
      </c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10"/>
    </row>
    <row r="11" spans="2:17" x14ac:dyDescent="0.35">
      <c r="C11" s="11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3"/>
    </row>
    <row r="12" spans="2:17" x14ac:dyDescent="0.35">
      <c r="C12" s="11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3"/>
    </row>
    <row r="13" spans="2:17" x14ac:dyDescent="0.35">
      <c r="C13" s="11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3"/>
    </row>
    <row r="14" spans="2:17" x14ac:dyDescent="0.35">
      <c r="C14" s="11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3"/>
    </row>
    <row r="15" spans="2:17" x14ac:dyDescent="0.35">
      <c r="C15" s="11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3"/>
    </row>
    <row r="16" spans="2:17" x14ac:dyDescent="0.35">
      <c r="C16" s="11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3"/>
    </row>
    <row r="17" spans="3:17" x14ac:dyDescent="0.35">
      <c r="C17" s="11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3"/>
    </row>
    <row r="18" spans="3:17" x14ac:dyDescent="0.35">
      <c r="C18" s="11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3"/>
    </row>
    <row r="19" spans="3:17" x14ac:dyDescent="0.35">
      <c r="C19" s="11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3"/>
    </row>
    <row r="20" spans="3:17" x14ac:dyDescent="0.35">
      <c r="C20" s="11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3"/>
    </row>
    <row r="21" spans="3:17" x14ac:dyDescent="0.35">
      <c r="C21" s="11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3"/>
    </row>
    <row r="22" spans="3:17" x14ac:dyDescent="0.35">
      <c r="C22" s="11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3"/>
    </row>
    <row r="23" spans="3:17" x14ac:dyDescent="0.35">
      <c r="C23" s="11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3"/>
    </row>
    <row r="24" spans="3:17" x14ac:dyDescent="0.35">
      <c r="C24" s="11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3"/>
    </row>
    <row r="25" spans="3:17" x14ac:dyDescent="0.35">
      <c r="C25" s="11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3"/>
    </row>
    <row r="26" spans="3:17" x14ac:dyDescent="0.35">
      <c r="C26" s="11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3"/>
    </row>
    <row r="27" spans="3:17" x14ac:dyDescent="0.35">
      <c r="C27" s="11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3"/>
    </row>
    <row r="28" spans="3:17" x14ac:dyDescent="0.35">
      <c r="C28" s="11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3"/>
    </row>
    <row r="29" spans="3:17" x14ac:dyDescent="0.35"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3"/>
    </row>
    <row r="30" spans="3:17" x14ac:dyDescent="0.35">
      <c r="C30" s="11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3"/>
    </row>
    <row r="31" spans="3:17" x14ac:dyDescent="0.35">
      <c r="C31" s="11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3"/>
    </row>
    <row r="32" spans="3:17" x14ac:dyDescent="0.35">
      <c r="C32" s="11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3"/>
    </row>
    <row r="33" spans="3:17" x14ac:dyDescent="0.35">
      <c r="C33" s="11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3"/>
    </row>
    <row r="34" spans="3:17" x14ac:dyDescent="0.35">
      <c r="C34" s="11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3"/>
    </row>
    <row r="35" spans="3:17" x14ac:dyDescent="0.35">
      <c r="C35" s="11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3"/>
    </row>
    <row r="36" spans="3:17" x14ac:dyDescent="0.35">
      <c r="C36" s="11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3"/>
    </row>
    <row r="37" spans="3:17" x14ac:dyDescent="0.35">
      <c r="C37" s="11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3"/>
    </row>
    <row r="38" spans="3:17" x14ac:dyDescent="0.35">
      <c r="C38" s="14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6"/>
    </row>
  </sheetData>
  <mergeCells count="1">
    <mergeCell ref="C10:Q38"/>
  </mergeCells>
  <hyperlinks>
    <hyperlink ref="C7" r:id="rId1" xr:uid="{00000000-0004-0000-00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bCreateImage">
          <controlPr defaultSize="0" autoLine="0" r:id="rId6">
            <anchor moveWithCells="1">
              <from>
                <xdr:col>9</xdr:col>
                <xdr:colOff>165100</xdr:colOff>
                <xdr:row>3</xdr:row>
                <xdr:rowOff>38100</xdr:rowOff>
              </from>
              <to>
                <xdr:col>11</xdr:col>
                <xdr:colOff>88900</xdr:colOff>
                <xdr:row>5</xdr:row>
                <xdr:rowOff>12700</xdr:rowOff>
              </to>
            </anchor>
          </controlPr>
        </control>
      </mc:Choice>
      <mc:Fallback>
        <control shapeId="1026" r:id="rId5" name="cbCreateImage"/>
      </mc:Fallback>
    </mc:AlternateContent>
    <mc:AlternateContent xmlns:mc="http://schemas.openxmlformats.org/markup-compatibility/2006">
      <mc:Choice Requires="x14">
        <control shapeId="1025" r:id="rId7" name="cbCreateText">
          <controlPr defaultSize="0" autoLine="0" r:id="rId8">
            <anchor moveWithCells="1">
              <from>
                <xdr:col>6</xdr:col>
                <xdr:colOff>165100</xdr:colOff>
                <xdr:row>3</xdr:row>
                <xdr:rowOff>38100</xdr:rowOff>
              </from>
              <to>
                <xdr:col>8</xdr:col>
                <xdr:colOff>88900</xdr:colOff>
                <xdr:row>5</xdr:row>
                <xdr:rowOff>12700</xdr:rowOff>
              </to>
            </anchor>
          </controlPr>
        </control>
      </mc:Choice>
      <mc:Fallback>
        <control shapeId="1025" r:id="rId7" name="cbCreateTex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Data"/>
  <dimension ref="B2:I32"/>
  <sheetViews>
    <sheetView showGridLines="0" workbookViewId="0">
      <selection activeCell="B2" sqref="B2:G32"/>
    </sheetView>
  </sheetViews>
  <sheetFormatPr defaultColWidth="9.1796875" defaultRowHeight="14.5" x14ac:dyDescent="0.35"/>
  <cols>
    <col min="1" max="1" width="3.7265625" style="5" customWidth="1"/>
    <col min="2" max="2" width="26.81640625" style="5" bestFit="1" customWidth="1"/>
    <col min="3" max="3" width="7" style="5" bestFit="1" customWidth="1"/>
    <col min="4" max="4" width="7.54296875" style="5" bestFit="1" customWidth="1"/>
    <col min="5" max="5" width="9.54296875" style="5" bestFit="1" customWidth="1"/>
    <col min="6" max="6" width="8" style="5" bestFit="1" customWidth="1"/>
    <col min="7" max="7" width="7.7265625" style="5" bestFit="1" customWidth="1"/>
    <col min="8" max="8" width="9.1796875" style="5"/>
    <col min="9" max="9" width="26.81640625" style="5" bestFit="1" customWidth="1"/>
    <col min="10" max="16384" width="9.1796875" style="5"/>
  </cols>
  <sheetData>
    <row r="2" spans="2:9" x14ac:dyDescent="0.35">
      <c r="B2" s="6" t="s">
        <v>8</v>
      </c>
      <c r="C2" s="6" t="s">
        <v>9</v>
      </c>
      <c r="D2" s="6" t="s">
        <v>10</v>
      </c>
      <c r="E2" s="6" t="s">
        <v>11</v>
      </c>
      <c r="F2" s="6" t="s">
        <v>12</v>
      </c>
      <c r="G2" s="6" t="s">
        <v>43</v>
      </c>
      <c r="I2" s="6" t="s">
        <v>8</v>
      </c>
    </row>
    <row r="3" spans="2:9" x14ac:dyDescent="0.35">
      <c r="B3" s="7" t="str">
        <f>LEFT(I3,18)</f>
        <v>MMM 3M</v>
      </c>
      <c r="C3" s="7">
        <v>199.94</v>
      </c>
      <c r="D3" s="7">
        <v>-2.02</v>
      </c>
      <c r="E3" s="7">
        <v>-0.01</v>
      </c>
      <c r="F3" s="7">
        <v>122898</v>
      </c>
      <c r="G3" s="7">
        <v>-0.15110000000000001</v>
      </c>
      <c r="I3" s="7" t="s">
        <v>13</v>
      </c>
    </row>
    <row r="4" spans="2:9" x14ac:dyDescent="0.35">
      <c r="B4" s="7" t="str">
        <f t="shared" ref="B4:B32" si="0">LEFT(I4,18)</f>
        <v>AXP American Expre</v>
      </c>
      <c r="C4" s="7">
        <v>101.94</v>
      </c>
      <c r="D4" s="7">
        <v>0.35</v>
      </c>
      <c r="E4" s="7">
        <v>3.5000000000000001E-3</v>
      </c>
      <c r="F4" s="7">
        <v>303208</v>
      </c>
      <c r="G4" s="7">
        <v>2.6200000000000001E-2</v>
      </c>
      <c r="I4" s="7" t="s">
        <v>14</v>
      </c>
    </row>
    <row r="5" spans="2:9" x14ac:dyDescent="0.35">
      <c r="B5" s="7" t="str">
        <f t="shared" si="0"/>
        <v>AAPL Apple</v>
      </c>
      <c r="C5" s="7">
        <v>209.34</v>
      </c>
      <c r="D5" s="7">
        <v>1.81</v>
      </c>
      <c r="E5" s="7">
        <v>8.6999999999999994E-3</v>
      </c>
      <c r="F5" s="7">
        <v>3261334</v>
      </c>
      <c r="G5" s="7">
        <v>0.23769999999999999</v>
      </c>
      <c r="I5" s="7" t="s">
        <v>15</v>
      </c>
    </row>
    <row r="6" spans="2:9" x14ac:dyDescent="0.35">
      <c r="B6" s="7" t="str">
        <f t="shared" si="0"/>
        <v>BA Boeing</v>
      </c>
      <c r="C6" s="7">
        <v>338.72</v>
      </c>
      <c r="D6" s="7">
        <v>-0.69</v>
      </c>
      <c r="E6" s="7">
        <v>-2E-3</v>
      </c>
      <c r="F6" s="7">
        <v>106560</v>
      </c>
      <c r="G6" s="7">
        <v>0.1484</v>
      </c>
      <c r="I6" s="7" t="s">
        <v>16</v>
      </c>
    </row>
    <row r="7" spans="2:9" x14ac:dyDescent="0.35">
      <c r="B7" s="7" t="str">
        <f t="shared" si="0"/>
        <v>CAT Caterpillar</v>
      </c>
      <c r="C7" s="7">
        <v>135.24</v>
      </c>
      <c r="D7" s="7">
        <v>-0.68</v>
      </c>
      <c r="E7" s="7">
        <v>-5.0000000000000001E-3</v>
      </c>
      <c r="F7" s="7">
        <v>224114</v>
      </c>
      <c r="G7" s="7">
        <v>-0.1426</v>
      </c>
      <c r="I7" s="7" t="s">
        <v>17</v>
      </c>
    </row>
    <row r="8" spans="2:9" x14ac:dyDescent="0.35">
      <c r="B8" s="7" t="str">
        <f t="shared" si="0"/>
        <v>CVX Chevron</v>
      </c>
      <c r="C8" s="7">
        <v>122.68</v>
      </c>
      <c r="D8" s="7">
        <v>-0.66</v>
      </c>
      <c r="E8" s="7">
        <v>-5.4000000000000003E-3</v>
      </c>
      <c r="F8" s="7">
        <v>251436</v>
      </c>
      <c r="G8" s="7">
        <v>-2.0299999999999999E-2</v>
      </c>
      <c r="I8" s="7" t="s">
        <v>18</v>
      </c>
    </row>
    <row r="9" spans="2:9" x14ac:dyDescent="0.35">
      <c r="B9" s="7" t="str">
        <f t="shared" si="0"/>
        <v>CSCO Cisco</v>
      </c>
      <c r="C9" s="7">
        <v>43.85</v>
      </c>
      <c r="D9" s="7">
        <v>7.0000000000000007E-2</v>
      </c>
      <c r="E9" s="7">
        <v>1.6000000000000001E-3</v>
      </c>
      <c r="F9" s="7">
        <v>1426949</v>
      </c>
      <c r="G9" s="7">
        <v>0.14410000000000001</v>
      </c>
      <c r="I9" s="7" t="s">
        <v>19</v>
      </c>
    </row>
    <row r="10" spans="2:9" x14ac:dyDescent="0.35">
      <c r="B10" s="7" t="str">
        <f t="shared" si="0"/>
        <v>KO Coca-Cola</v>
      </c>
      <c r="C10" s="7">
        <v>45.86</v>
      </c>
      <c r="D10" s="7">
        <v>-0.22</v>
      </c>
      <c r="E10" s="7">
        <v>-4.7999999999999996E-3</v>
      </c>
      <c r="F10" s="7">
        <v>581642</v>
      </c>
      <c r="G10" s="7">
        <v>-2.0000000000000001E-4</v>
      </c>
      <c r="I10" s="7" t="s">
        <v>20</v>
      </c>
    </row>
    <row r="11" spans="2:9" x14ac:dyDescent="0.35">
      <c r="B11" s="7" t="str">
        <f t="shared" si="0"/>
        <v>DIS Disney</v>
      </c>
      <c r="C11" s="7">
        <v>112.39</v>
      </c>
      <c r="D11" s="7">
        <v>-0.28999999999999998</v>
      </c>
      <c r="E11" s="7">
        <v>-2.5999999999999999E-3</v>
      </c>
      <c r="F11" s="7">
        <v>397757</v>
      </c>
      <c r="G11" s="7">
        <v>4.4200000000000003E-2</v>
      </c>
      <c r="I11" s="7" t="s">
        <v>21</v>
      </c>
    </row>
    <row r="12" spans="2:9" x14ac:dyDescent="0.35">
      <c r="B12" s="7" t="str">
        <f t="shared" si="0"/>
        <v>DWDP DowDuPont Inc</v>
      </c>
      <c r="C12" s="7">
        <v>66.66</v>
      </c>
      <c r="D12" s="7">
        <v>-1.08</v>
      </c>
      <c r="E12" s="7">
        <v>-1.6E-2</v>
      </c>
      <c r="F12" s="7">
        <v>327269</v>
      </c>
      <c r="G12" s="7">
        <v>-6.5199999999999994E-2</v>
      </c>
      <c r="I12" s="7" t="s">
        <v>22</v>
      </c>
    </row>
    <row r="13" spans="2:9" x14ac:dyDescent="0.35">
      <c r="B13" s="7" t="str">
        <f t="shared" si="0"/>
        <v>XOM Exxon Mobil</v>
      </c>
      <c r="C13" s="7">
        <v>78.69</v>
      </c>
      <c r="D13" s="7">
        <v>-0.73</v>
      </c>
      <c r="E13" s="7">
        <v>-9.1999999999999998E-3</v>
      </c>
      <c r="F13" s="7">
        <v>563467</v>
      </c>
      <c r="G13" s="7">
        <v>-5.9299999999999999E-2</v>
      </c>
      <c r="I13" s="7" t="s">
        <v>23</v>
      </c>
    </row>
    <row r="14" spans="2:9" x14ac:dyDescent="0.35">
      <c r="B14" s="7" t="str">
        <f t="shared" si="0"/>
        <v>GS Goldman Sachs</v>
      </c>
      <c r="C14" s="7">
        <v>226.93</v>
      </c>
      <c r="D14" s="7">
        <v>-2.68</v>
      </c>
      <c r="E14" s="7">
        <v>-1.17E-2</v>
      </c>
      <c r="F14" s="7">
        <v>194420</v>
      </c>
      <c r="G14" s="7">
        <v>-0.10929999999999999</v>
      </c>
      <c r="I14" s="7" t="s">
        <v>24</v>
      </c>
    </row>
    <row r="15" spans="2:9" x14ac:dyDescent="0.35">
      <c r="B15" s="7" t="str">
        <f t="shared" si="0"/>
        <v>HD Home Depot</v>
      </c>
      <c r="C15" s="7">
        <v>194.6</v>
      </c>
      <c r="D15" s="7">
        <v>-1.7</v>
      </c>
      <c r="E15" s="7">
        <v>-8.6999999999999994E-3</v>
      </c>
      <c r="F15" s="7">
        <v>556114</v>
      </c>
      <c r="G15" s="7">
        <v>2.6100000000000002E-2</v>
      </c>
      <c r="I15" s="7" t="s">
        <v>25</v>
      </c>
    </row>
    <row r="16" spans="2:9" x14ac:dyDescent="0.35">
      <c r="B16" s="7" t="str">
        <f t="shared" si="0"/>
        <v>IBM IBM</v>
      </c>
      <c r="C16" s="7">
        <v>142.76</v>
      </c>
      <c r="D16" s="7">
        <v>-1.72</v>
      </c>
      <c r="E16" s="7">
        <v>-1.1900000000000001E-2</v>
      </c>
      <c r="F16" s="7">
        <v>228354</v>
      </c>
      <c r="G16" s="7">
        <v>-6.9699999999999998E-2</v>
      </c>
      <c r="I16" s="7" t="s">
        <v>26</v>
      </c>
    </row>
    <row r="17" spans="2:9" x14ac:dyDescent="0.35">
      <c r="B17" s="7" t="str">
        <f t="shared" si="0"/>
        <v>INTC Intel</v>
      </c>
      <c r="C17" s="7">
        <v>48.54</v>
      </c>
      <c r="D17" s="7">
        <v>-0.31</v>
      </c>
      <c r="E17" s="7">
        <v>-6.4000000000000003E-3</v>
      </c>
      <c r="F17" s="7">
        <v>1126806</v>
      </c>
      <c r="G17" s="7">
        <v>5.11E-2</v>
      </c>
      <c r="I17" s="7" t="s">
        <v>27</v>
      </c>
    </row>
    <row r="18" spans="2:9" x14ac:dyDescent="0.35">
      <c r="B18" s="7" t="str">
        <f t="shared" si="0"/>
        <v>JNJ Johnson &amp; John</v>
      </c>
      <c r="C18" s="7">
        <v>130.24</v>
      </c>
      <c r="D18" s="7">
        <v>-0.51</v>
      </c>
      <c r="E18" s="7">
        <v>-3.8999999999999998E-3</v>
      </c>
      <c r="F18" s="7">
        <v>258928</v>
      </c>
      <c r="G18" s="7">
        <v>-6.7699999999999996E-2</v>
      </c>
      <c r="I18" s="7" t="s">
        <v>28</v>
      </c>
    </row>
    <row r="19" spans="2:9" x14ac:dyDescent="0.35">
      <c r="B19" s="7" t="str">
        <f t="shared" si="0"/>
        <v>JPM JPMorgan Chase</v>
      </c>
      <c r="C19" s="7">
        <v>113.98</v>
      </c>
      <c r="D19" s="7">
        <v>-1.75</v>
      </c>
      <c r="E19" s="7">
        <v>-1.5100000000000001E-2</v>
      </c>
      <c r="F19" s="7">
        <v>881976</v>
      </c>
      <c r="G19" s="7">
        <v>6.5799999999999997E-2</v>
      </c>
      <c r="I19" s="7" t="s">
        <v>29</v>
      </c>
    </row>
    <row r="20" spans="2:9" x14ac:dyDescent="0.35">
      <c r="B20" s="7" t="str">
        <f t="shared" si="0"/>
        <v>MCD McDonald's</v>
      </c>
      <c r="C20" s="7">
        <v>158</v>
      </c>
      <c r="D20" s="7">
        <v>-0.68</v>
      </c>
      <c r="E20" s="7">
        <v>-4.3E-3</v>
      </c>
      <c r="F20" s="7">
        <v>157489</v>
      </c>
      <c r="G20" s="7">
        <v>-8.09E-2</v>
      </c>
      <c r="I20" s="7" t="s">
        <v>30</v>
      </c>
    </row>
    <row r="21" spans="2:9" x14ac:dyDescent="0.35">
      <c r="B21" s="7" t="str">
        <f t="shared" si="0"/>
        <v>MRK Merck</v>
      </c>
      <c r="C21" s="7">
        <v>66.72</v>
      </c>
      <c r="D21" s="7">
        <v>0.65</v>
      </c>
      <c r="E21" s="7">
        <v>9.7999999999999997E-3</v>
      </c>
      <c r="F21" s="7">
        <v>602903</v>
      </c>
      <c r="G21" s="7">
        <v>0.18659999999999999</v>
      </c>
      <c r="I21" s="7" t="s">
        <v>31</v>
      </c>
    </row>
    <row r="22" spans="2:9" x14ac:dyDescent="0.35">
      <c r="B22" s="7" t="str">
        <f t="shared" si="0"/>
        <v>MSFT Microsoft</v>
      </c>
      <c r="C22" s="7">
        <v>108.38</v>
      </c>
      <c r="D22" s="7">
        <v>-0.62</v>
      </c>
      <c r="E22" s="7">
        <v>-5.7000000000000002E-3</v>
      </c>
      <c r="F22" s="7">
        <v>1838260</v>
      </c>
      <c r="G22" s="7">
        <v>0.26690000000000003</v>
      </c>
      <c r="I22" s="7" t="s">
        <v>32</v>
      </c>
    </row>
    <row r="23" spans="2:9" x14ac:dyDescent="0.35">
      <c r="B23" s="7" t="str">
        <f t="shared" si="0"/>
        <v>NKE Nike</v>
      </c>
      <c r="C23" s="7">
        <v>80.260000000000005</v>
      </c>
      <c r="D23" s="7">
        <v>-0.47</v>
      </c>
      <c r="E23" s="7">
        <v>-5.7999999999999996E-3</v>
      </c>
      <c r="F23" s="7">
        <v>252641</v>
      </c>
      <c r="G23" s="7">
        <v>0.28249999999999997</v>
      </c>
      <c r="I23" s="7" t="s">
        <v>33</v>
      </c>
    </row>
    <row r="24" spans="2:9" x14ac:dyDescent="0.35">
      <c r="B24" s="7" t="str">
        <f t="shared" si="0"/>
        <v>PFE Pfizer</v>
      </c>
      <c r="C24" s="7">
        <v>40.9</v>
      </c>
      <c r="D24" s="7">
        <v>-0.04</v>
      </c>
      <c r="E24" s="7">
        <v>-8.9999999999999998E-4</v>
      </c>
      <c r="F24" s="7">
        <v>831426</v>
      </c>
      <c r="G24" s="7">
        <v>0.12920000000000001</v>
      </c>
      <c r="I24" s="7" t="s">
        <v>34</v>
      </c>
    </row>
    <row r="25" spans="2:9" x14ac:dyDescent="0.35">
      <c r="B25" s="7" t="str">
        <f t="shared" si="0"/>
        <v>PG Procter &amp; Gambl</v>
      </c>
      <c r="C25" s="7">
        <v>81.5</v>
      </c>
      <c r="D25" s="7">
        <v>7.0000000000000007E-2</v>
      </c>
      <c r="E25" s="7">
        <v>8.0000000000000004E-4</v>
      </c>
      <c r="F25" s="7">
        <v>350957</v>
      </c>
      <c r="G25" s="7">
        <v>-0.1119</v>
      </c>
      <c r="I25" s="7" t="s">
        <v>35</v>
      </c>
    </row>
    <row r="26" spans="2:9" x14ac:dyDescent="0.35">
      <c r="B26" s="7" t="str">
        <f t="shared" si="0"/>
        <v>TRV Travelers Comp</v>
      </c>
      <c r="C26" s="7">
        <v>128.18</v>
      </c>
      <c r="D26" s="7">
        <v>-0.69</v>
      </c>
      <c r="E26" s="7">
        <v>-5.4000000000000003E-3</v>
      </c>
      <c r="F26" s="7">
        <v>73692</v>
      </c>
      <c r="G26" s="7">
        <v>-5.5899999999999998E-2</v>
      </c>
      <c r="I26" s="7" t="s">
        <v>36</v>
      </c>
    </row>
    <row r="27" spans="2:9" x14ac:dyDescent="0.35">
      <c r="B27" s="7" t="str">
        <f t="shared" si="0"/>
        <v>UTX United Technol</v>
      </c>
      <c r="C27" s="7">
        <v>132.13</v>
      </c>
      <c r="D27" s="7">
        <v>-0.97</v>
      </c>
      <c r="E27" s="7">
        <v>-7.3000000000000001E-3</v>
      </c>
      <c r="F27" s="7">
        <v>164394</v>
      </c>
      <c r="G27" s="7">
        <v>3.5799999999999998E-2</v>
      </c>
      <c r="I27" s="7" t="s">
        <v>37</v>
      </c>
    </row>
    <row r="28" spans="2:9" x14ac:dyDescent="0.35">
      <c r="B28" s="7" t="str">
        <f t="shared" si="0"/>
        <v>UNH UnitedHealth</v>
      </c>
      <c r="C28" s="7">
        <v>261.35000000000002</v>
      </c>
      <c r="D28" s="7">
        <v>0.99</v>
      </c>
      <c r="E28" s="7">
        <v>3.8E-3</v>
      </c>
      <c r="F28" s="7">
        <v>59323</v>
      </c>
      <c r="G28" s="7">
        <v>0.1852</v>
      </c>
      <c r="I28" s="7" t="s">
        <v>38</v>
      </c>
    </row>
    <row r="29" spans="2:9" x14ac:dyDescent="0.35">
      <c r="B29" s="7" t="str">
        <f t="shared" si="0"/>
        <v>VZ Verizon</v>
      </c>
      <c r="C29" s="7">
        <v>52.28</v>
      </c>
      <c r="D29" s="7">
        <v>-0.18</v>
      </c>
      <c r="E29" s="7">
        <v>-3.5000000000000001E-3</v>
      </c>
      <c r="F29" s="7">
        <v>610850</v>
      </c>
      <c r="G29" s="7">
        <v>-1.29E-2</v>
      </c>
      <c r="I29" s="7" t="s">
        <v>39</v>
      </c>
    </row>
    <row r="30" spans="2:9" x14ac:dyDescent="0.35">
      <c r="B30" s="7" t="str">
        <f t="shared" si="0"/>
        <v>V Visa</v>
      </c>
      <c r="C30" s="7">
        <v>140.16999999999999</v>
      </c>
      <c r="D30" s="7">
        <v>0.44</v>
      </c>
      <c r="E30" s="7">
        <v>3.0999999999999999E-3</v>
      </c>
      <c r="F30" s="7">
        <v>457197</v>
      </c>
      <c r="G30" s="7">
        <v>0.22969999999999999</v>
      </c>
      <c r="I30" s="7" t="s">
        <v>40</v>
      </c>
    </row>
    <row r="31" spans="2:9" x14ac:dyDescent="0.35">
      <c r="B31" s="7" t="str">
        <f t="shared" si="0"/>
        <v>WMT Wal-Mart</v>
      </c>
      <c r="C31" s="7">
        <v>89.69</v>
      </c>
      <c r="D31" s="7">
        <v>-0.49</v>
      </c>
      <c r="E31" s="7">
        <v>-5.4999999999999997E-3</v>
      </c>
      <c r="F31" s="7">
        <v>457375</v>
      </c>
      <c r="G31" s="7">
        <v>-9.0800000000000006E-2</v>
      </c>
      <c r="I31" s="7" t="s">
        <v>41</v>
      </c>
    </row>
    <row r="32" spans="2:9" x14ac:dyDescent="0.35">
      <c r="B32" s="7" t="str">
        <f t="shared" si="0"/>
        <v>WBA Walgreen</v>
      </c>
      <c r="C32" s="7">
        <v>66.61</v>
      </c>
      <c r="D32" s="7">
        <v>0.12</v>
      </c>
      <c r="E32" s="7">
        <v>1.8E-3</v>
      </c>
      <c r="F32" s="7">
        <v>414122</v>
      </c>
      <c r="G32" s="7">
        <v>-8.3699999999999997E-2</v>
      </c>
      <c r="I32" s="7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Outlook</vt:lpstr>
      <vt:lpstr>DataTable</vt:lpstr>
      <vt:lpstr>Outlook!rngBody</vt:lpstr>
      <vt:lpstr>DataTable!rngData</vt:lpstr>
      <vt:lpstr>Outlook!rngState</vt:lpstr>
      <vt:lpstr>Outlook!rngSubject</vt:lpstr>
      <vt:lpstr>Outlook!rngTo</vt:lpstr>
      <vt:lpstr>Outlook!rngVersion</vt:lpstr>
    </vt:vector>
  </TitlesOfParts>
  <Company>Mercuria Energy Group Holding 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Hanrahan</dc:creator>
  <dc:description>I am saving the image to disk first. I use the environ variables to find the users temp dir and save it there. Then I create an HTML string that refers to it and add that to the email’s HTMLbody property. Uses late binding</dc:description>
  <cp:lastModifiedBy>Don Hanrahan</cp:lastModifiedBy>
  <dcterms:created xsi:type="dcterms:W3CDTF">2018-07-30T18:42:28Z</dcterms:created>
  <dcterms:modified xsi:type="dcterms:W3CDTF">2019-11-19T20:47:43Z</dcterms:modified>
</cp:coreProperties>
</file>